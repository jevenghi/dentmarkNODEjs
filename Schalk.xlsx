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jsProjects\krasmarkNODE\"/>
    </mc:Choice>
  </mc:AlternateContent>
  <xr:revisionPtr revIDLastSave="0" documentId="13_ncr:1_{647AB20F-102F-484C-820E-6FDA5301B3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ctuur" sheetId="1" r:id="rId1"/>
    <sheet name="klanten" sheetId="2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Factuur!$A$1:$G$43</definedName>
  </definedNames>
  <calcPr calcId="181029"/>
</workbook>
</file>

<file path=xl/calcChain.xml><?xml version="1.0" encoding="utf-8"?>
<calcChain xmlns="http://schemas.openxmlformats.org/spreadsheetml/2006/main">
  <c r="A11" i="1" l="1"/>
  <c r="A10" i="1"/>
  <c r="A9" i="1"/>
  <c r="A7" i="1" l="1"/>
  <c r="A8" i="1"/>
  <c r="I26" i="1" l="1"/>
  <c r="I25" i="1"/>
  <c r="I24" i="1"/>
  <c r="I23" i="1"/>
  <c r="I22" i="1"/>
  <c r="I21" i="1"/>
  <c r="I20" i="1"/>
  <c r="I19" i="1"/>
  <c r="G31" i="1" l="1"/>
  <c r="G33" i="1" s="1"/>
  <c r="G35" i="1" l="1"/>
</calcChain>
</file>

<file path=xl/sharedStrings.xml><?xml version="1.0" encoding="utf-8"?>
<sst xmlns="http://schemas.openxmlformats.org/spreadsheetml/2006/main" count="129" uniqueCount="125">
  <si>
    <t>Factuur</t>
  </si>
  <si>
    <t>AM Place</t>
  </si>
  <si>
    <t>Kalsdonksestraat 158</t>
  </si>
  <si>
    <t>AAN</t>
  </si>
  <si>
    <t>4702 ZJ</t>
  </si>
  <si>
    <t>ROOSENDAAL</t>
  </si>
  <si>
    <t>Bedrijfswagencentrum Roosendaal BV</t>
  </si>
  <si>
    <t xml:space="preserve">KvK nr:  </t>
  </si>
  <si>
    <t xml:space="preserve">Btw:  </t>
  </si>
  <si>
    <t>NL002520947B44</t>
  </si>
  <si>
    <t xml:space="preserve">Bank:  </t>
  </si>
  <si>
    <t>ING</t>
  </si>
  <si>
    <t xml:space="preserve">IBAN:  </t>
  </si>
  <si>
    <t>NL 23 INGB 0007 8735 81</t>
  </si>
  <si>
    <t xml:space="preserve"> </t>
  </si>
  <si>
    <t xml:space="preserve">Website:  </t>
  </si>
  <si>
    <t xml:space="preserve">E-mail:  </t>
  </si>
  <si>
    <t>info@am-place.com</t>
  </si>
  <si>
    <t>FACTUURDATUM</t>
  </si>
  <si>
    <t>FACTUURNUMMER</t>
  </si>
  <si>
    <t>VERVALDATUM</t>
  </si>
  <si>
    <t>DATUM</t>
  </si>
  <si>
    <t xml:space="preserve"> OMSCHRIJVING</t>
  </si>
  <si>
    <t xml:space="preserve"> SUBTOTAAL </t>
  </si>
  <si>
    <t>TOTAAL EXCL. BTW</t>
  </si>
  <si>
    <t>BTW %</t>
  </si>
  <si>
    <t>TOTAAL BTW</t>
  </si>
  <si>
    <t>VERZENDKOSTEN</t>
  </si>
  <si>
    <t>TE BETALEN</t>
  </si>
  <si>
    <t>Opmerkingen &amp; Voorwaarden</t>
  </si>
  <si>
    <t>Wij verzoeken u vriendelijk het bedrag binnen 30 dagen over te maken onder vermelding van factuurnummer</t>
  </si>
  <si>
    <t>description</t>
  </si>
  <si>
    <t>Bedrijf 1</t>
  </si>
  <si>
    <t>Bedrijf 2</t>
  </si>
  <si>
    <t>Bedrijf 3</t>
  </si>
  <si>
    <t>Bedrijf 4</t>
  </si>
  <si>
    <t>Bedrijf 5</t>
  </si>
  <si>
    <t>Bedrijf 6</t>
  </si>
  <si>
    <t>Bedrijf 7</t>
  </si>
  <si>
    <t>Bedrijf 8</t>
  </si>
  <si>
    <t>Bedrijf 9</t>
  </si>
  <si>
    <t>Bedrijf 10</t>
  </si>
  <si>
    <t>Naam</t>
  </si>
  <si>
    <t>Autobedrijf Auto4Motion</t>
  </si>
  <si>
    <t>Autobedrijf van Oevelen b.v.</t>
  </si>
  <si>
    <t>Autobedrijf Gebr. Raaijmakers BV</t>
  </si>
  <si>
    <t>Auto Restyle Roosendaal</t>
  </si>
  <si>
    <t>Autobedrijf van Drunen</t>
  </si>
  <si>
    <t>Doel Auto's</t>
  </si>
  <si>
    <t>Cars Bikes Center Brabant</t>
  </si>
  <si>
    <t>Drive4ever</t>
  </si>
  <si>
    <t>Straat nr.</t>
  </si>
  <si>
    <t>Stepvelden 21 A</t>
  </si>
  <si>
    <t>Leemstraat 2 A</t>
  </si>
  <si>
    <t>Pr. Reinierstraat 14</t>
  </si>
  <si>
    <t>Prins Reinierstraat 14</t>
  </si>
  <si>
    <t>Juraberg 19</t>
  </si>
  <si>
    <t>van Assendelftstraat 15</t>
  </si>
  <si>
    <t>Doelstraat 6</t>
  </si>
  <si>
    <t>Belder 92</t>
  </si>
  <si>
    <t>Guldenweg 14</t>
  </si>
  <si>
    <t xml:space="preserve">Post code, staad </t>
  </si>
  <si>
    <t>4704 RM Roosendaal</t>
  </si>
  <si>
    <t>4705RH Roosendaal</t>
  </si>
  <si>
    <t>4651 RZ Steenbergen</t>
  </si>
  <si>
    <t>4708 MA Roosendaal</t>
  </si>
  <si>
    <t>4615 KZ Bergen op Zoom</t>
  </si>
  <si>
    <t>4631 RH Hoogerheide</t>
  </si>
  <si>
    <t>4704 RK Roosendaal</t>
  </si>
  <si>
    <t>4879 NL Etten-Leur</t>
  </si>
  <si>
    <t>Email</t>
  </si>
  <si>
    <t>facturen@bwcr.nl</t>
  </si>
  <si>
    <t>info@auto4motion.nl</t>
  </si>
  <si>
    <t>info@doelautos.nl</t>
  </si>
  <si>
    <t>info@cbcbrabant.nl</t>
  </si>
  <si>
    <t>info@drive4ever.nl</t>
  </si>
  <si>
    <t>facturatie@schalktrading.nl</t>
  </si>
  <si>
    <t>Bedrijf 11</t>
  </si>
  <si>
    <t>Keulsveld 2</t>
  </si>
  <si>
    <t>4705RS Roosendaal</t>
  </si>
  <si>
    <t>info@autorens.nl</t>
  </si>
  <si>
    <t>Auto Rens Roosendaal</t>
  </si>
  <si>
    <t>Bedrijf 12</t>
  </si>
  <si>
    <t>Zuidlangeweg 2b</t>
  </si>
  <si>
    <t>luc@vandriellandschapsbeheer.nl</t>
  </si>
  <si>
    <t>4796SB Oudemolen</t>
  </si>
  <si>
    <t>Van Driel Landschapsbeheer</t>
  </si>
  <si>
    <t>Bedrijf 13</t>
  </si>
  <si>
    <t>Brieltjenspolder 14d</t>
  </si>
  <si>
    <t>4921PJ Made</t>
  </si>
  <si>
    <t>admin@lvgautos.nl</t>
  </si>
  <si>
    <t>LvG autos</t>
  </si>
  <si>
    <t>Schalk Trading Automotive B.V</t>
  </si>
  <si>
    <t>De Waterman 3</t>
  </si>
  <si>
    <t>4891 TL Rijsbergen</t>
  </si>
  <si>
    <t>Bedrijf 14</t>
  </si>
  <si>
    <t>Hafmans Technische Dienstverlening</t>
  </si>
  <si>
    <t>Veenbos 25</t>
  </si>
  <si>
    <t>4727TE Moerstraten</t>
  </si>
  <si>
    <t xml:space="preserve">Info@ha-tech.nl </t>
  </si>
  <si>
    <t>http://am-place.nl</t>
  </si>
  <si>
    <t>Bedrijf 15</t>
  </si>
  <si>
    <t>JR Carcare</t>
  </si>
  <si>
    <t>info@jrcarcare.nl</t>
  </si>
  <si>
    <t>Laguitensebaan 72</t>
  </si>
  <si>
    <t>4891 XR Rijsbergen</t>
  </si>
  <si>
    <t xml:space="preserve">Op alle diensten zijn onze algemene voorwaarden van toepassing. </t>
  </si>
  <si>
    <t>Bedrijf 16</t>
  </si>
  <si>
    <t>Scratch Repair Roosendaal</t>
  </si>
  <si>
    <t>Hogerwerf 12b</t>
  </si>
  <si>
    <t>4704 RV Roosendaal</t>
  </si>
  <si>
    <t>Bedrijf 17</t>
  </si>
  <si>
    <t>Bedrijf 18</t>
  </si>
  <si>
    <t>Bedrijf 19</t>
  </si>
  <si>
    <t>Bedrijf 20</t>
  </si>
  <si>
    <t>JATransport B.V.</t>
  </si>
  <si>
    <t>KVK-81415451</t>
  </si>
  <si>
    <t>BTW-NL862080198B01</t>
  </si>
  <si>
    <t>M&amp;S rent service</t>
  </si>
  <si>
    <t>info@msrentservice.eu</t>
  </si>
  <si>
    <t>Veilingdreef 35a</t>
  </si>
  <si>
    <t>4614RX Bergen op Zoom</t>
  </si>
  <si>
    <t>KvK: 76343901</t>
  </si>
  <si>
    <t>Btw: NL860595572B01</t>
  </si>
  <si>
    <t>info@krasjesendeukjes.nl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</si>
</sst>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* #,##0.00_);_(* \(#,##0.00\);_(* &quot;-&quot;??_);_(@_)"/>
    <numFmt numFmtId="165" formatCode="_(&quot;€&quot;* #,##0.00_);_(&quot;€&quot;* \(#,##0.00\);_(&quot;€&quot;* &quot;-&quot;??_);_(@_)"/>
    <numFmt numFmtId="166" formatCode="@\ \ "/>
    <numFmt numFmtId="167" formatCode="d\-mm\-yy;@"/>
  </numFmts>
  <fonts count="2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u/>
      <sz val="9"/>
      <color theme="10"/>
      <name val="Arial"/>
      <family val="2"/>
    </font>
    <font>
      <sz val="10"/>
      <color rgb="FF0070C0"/>
      <name val="Arial"/>
      <family val="2"/>
    </font>
    <font>
      <sz val="10"/>
      <color theme="1" tint="0.249977111117893"/>
      <name val="Arial"/>
      <family val="2"/>
    </font>
    <font>
      <b/>
      <sz val="9"/>
      <color theme="1" tint="0.249977111117893"/>
      <name val="Arial"/>
      <family val="2"/>
    </font>
    <font>
      <b/>
      <sz val="10"/>
      <color rgb="FF0070C0"/>
      <name val="Arial"/>
      <family val="2"/>
    </font>
    <font>
      <sz val="8"/>
      <name val="Arial"/>
      <family val="2"/>
    </font>
    <font>
      <b/>
      <sz val="20"/>
      <color rgb="FFF03200"/>
      <name val="Papyrus"/>
      <family val="4"/>
    </font>
    <font>
      <b/>
      <sz val="10"/>
      <color theme="0"/>
      <name val="Arial"/>
      <family val="2"/>
    </font>
    <font>
      <sz val="11"/>
      <color rgb="FF202124"/>
      <name val="Arial"/>
      <family val="2"/>
    </font>
    <font>
      <sz val="10"/>
      <color rgb="FF002060"/>
      <name val="Arial"/>
      <family val="2"/>
    </font>
    <font>
      <sz val="10"/>
      <color rgb="FF000005"/>
      <name val="Arial"/>
      <family val="2"/>
    </font>
    <font>
      <sz val="28"/>
      <color rgb="FF000005"/>
      <name val="Arial"/>
      <family val="2"/>
    </font>
    <font>
      <b/>
      <sz val="18"/>
      <color rgb="FF000005"/>
      <name val="Arial"/>
      <family val="2"/>
    </font>
    <font>
      <sz val="8"/>
      <color rgb="FF000005"/>
      <name val="Arial"/>
      <family val="2"/>
    </font>
    <font>
      <b/>
      <sz val="10"/>
      <color rgb="FF000022"/>
      <name val="Arial"/>
      <family val="2"/>
    </font>
    <font>
      <sz val="10"/>
      <color rgb="FF000022"/>
      <name val="Arial"/>
      <family val="2"/>
    </font>
    <font>
      <sz val="24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u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gradientFill degree="270">
        <stop position="0">
          <color theme="0"/>
        </stop>
        <stop position="1">
          <color theme="0" tint="-0.1490218817712943"/>
        </stop>
      </gradient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horizontal="left" indent="1"/>
    </xf>
    <xf numFmtId="0" fontId="5" fillId="0" borderId="0" xfId="0" applyFont="1"/>
    <xf numFmtId="0" fontId="2" fillId="0" borderId="0" xfId="0" applyFont="1" applyAlignment="1">
      <alignment horizontal="left" indent="1"/>
    </xf>
    <xf numFmtId="0" fontId="2" fillId="0" borderId="0" xfId="0" applyFont="1"/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right"/>
    </xf>
    <xf numFmtId="0" fontId="3" fillId="0" borderId="0" xfId="1" applyAlignment="1" applyProtection="1"/>
    <xf numFmtId="0" fontId="3" fillId="0" borderId="0" xfId="1" applyBorder="1" applyAlignment="1" applyProtection="1">
      <alignment horizontal="left"/>
    </xf>
    <xf numFmtId="0" fontId="7" fillId="0" borderId="0" xfId="0" applyFont="1" applyAlignment="1">
      <alignment horizontal="left" indent="1"/>
    </xf>
    <xf numFmtId="0" fontId="12" fillId="0" borderId="0" xfId="0" applyFont="1"/>
    <xf numFmtId="0" fontId="14" fillId="0" borderId="0" xfId="0" applyFont="1"/>
    <xf numFmtId="0" fontId="1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18" fillId="0" borderId="0" xfId="0" applyFont="1"/>
    <xf numFmtId="165" fontId="18" fillId="0" borderId="0" xfId="0" applyNumberFormat="1" applyFont="1" applyAlignment="1">
      <alignment horizontal="right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right"/>
    </xf>
    <xf numFmtId="0" fontId="0" fillId="0" borderId="0" xfId="0" applyAlignment="1">
      <alignment horizontal="left" indent="1"/>
    </xf>
    <xf numFmtId="0" fontId="18" fillId="0" borderId="0" xfId="0" applyFont="1" applyAlignment="1">
      <alignment horizontal="left" vertical="center"/>
    </xf>
    <xf numFmtId="167" fontId="17" fillId="0" borderId="0" xfId="0" applyNumberFormat="1" applyFont="1" applyAlignment="1">
      <alignment horizontal="left" vertical="center"/>
    </xf>
    <xf numFmtId="0" fontId="19" fillId="0" borderId="0" xfId="0" applyFont="1"/>
    <xf numFmtId="0" fontId="1" fillId="0" borderId="0" xfId="0" applyFont="1" applyAlignment="1">
      <alignment horizontal="right"/>
    </xf>
    <xf numFmtId="14" fontId="20" fillId="0" borderId="0" xfId="0" applyNumberFormat="1" applyFont="1" applyAlignment="1">
      <alignment horizontal="left"/>
    </xf>
    <xf numFmtId="0" fontId="1" fillId="0" borderId="0" xfId="0" applyFont="1" applyAlignment="1">
      <alignment horizontal="right" vertical="center"/>
    </xf>
    <xf numFmtId="0" fontId="21" fillId="0" borderId="0" xfId="0" applyFont="1" applyAlignment="1">
      <alignment horizontal="left" vertical="center"/>
    </xf>
    <xf numFmtId="0" fontId="20" fillId="0" borderId="0" xfId="0" applyFont="1" applyAlignment="1">
      <alignment horizontal="right" vertical="center"/>
    </xf>
    <xf numFmtId="0" fontId="2" fillId="0" borderId="0" xfId="0" applyFont="1" applyAlignment="1">
      <alignment horizontal="right" indent="1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/>
    </xf>
    <xf numFmtId="0" fontId="21" fillId="0" borderId="0" xfId="0" applyFont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167" fontId="1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66" fontId="1" fillId="0" borderId="0" xfId="0" applyNumberFormat="1" applyFont="1" applyAlignment="1">
      <alignment horizontal="right" vertical="center"/>
    </xf>
    <xf numFmtId="165" fontId="2" fillId="2" borderId="0" xfId="0" applyNumberFormat="1" applyFont="1" applyFill="1" applyAlignment="1">
      <alignment horizontal="right" vertical="center"/>
    </xf>
    <xf numFmtId="0" fontId="22" fillId="0" borderId="0" xfId="1" applyFont="1" applyAlignment="1" applyProtection="1"/>
    <xf numFmtId="0" fontId="2" fillId="0" borderId="0" xfId="0" applyFont="1" applyAlignment="1">
      <alignment wrapText="1" shrinkToFit="1"/>
    </xf>
    <xf numFmtId="10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shrinkToFit="1"/>
    </xf>
    <xf numFmtId="164" fontId="2" fillId="2" borderId="0" xfId="0" applyNumberFormat="1" applyFont="1" applyFill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5" fontId="1" fillId="2" borderId="0" xfId="0" applyNumberFormat="1" applyFont="1" applyFill="1" applyAlignment="1">
      <alignment horizontal="right" vertic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10" fillId="3" borderId="0" xfId="0" applyFont="1" applyFill="1" applyAlignment="1">
      <alignment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3" fillId="0" borderId="0" xfId="1" applyAlignment="1" applyProtection="1">
      <alignment wrapText="1"/>
    </xf>
    <xf numFmtId="0" fontId="2" fillId="0" borderId="0" xfId="1" applyFont="1" applyAlignment="1" applyProtection="1">
      <alignment horizontal="left" wrapText="1"/>
    </xf>
    <xf numFmtId="0" fontId="2" fillId="0" borderId="0" xfId="1" applyFont="1" applyFill="1" applyBorder="1" applyAlignment="1" applyProtection="1">
      <alignment horizontal="left" wrapText="1"/>
    </xf>
    <xf numFmtId="0" fontId="3" fillId="0" borderId="0" xfId="1" applyFill="1" applyBorder="1" applyAlignment="1" applyProtection="1">
      <alignment horizontal="left" wrapText="1"/>
    </xf>
    <xf numFmtId="0" fontId="3" fillId="0" borderId="0" xfId="1" applyAlignment="1" applyProtection="1">
      <alignment horizontal="left" wrapText="1"/>
    </xf>
    <xf numFmtId="0" fontId="23" fillId="0" borderId="1" xfId="0" applyFont="1" applyBorder="1" applyAlignment="1">
      <alignment horizontal="left" wrapText="1"/>
    </xf>
    <xf numFmtId="0" fontId="10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0" fontId="1" fillId="2" borderId="0" xfId="0" applyFont="1" applyFill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8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indent="1"/>
    </xf>
    <xf numFmtId="0" fontId="0" fillId="0" borderId="0" xfId="0"/>
    <xf numFmtId="0" fontId="18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1" indent="0" justifyLastLine="0" shrinkToFit="0" readingOrder="0"/>
    </dxf>
    <dxf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theme="3" tint="-0.249977111117893"/>
        </patternFill>
      </fill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24"/>
      <tableStyleElement type="headerRow" dxfId="2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22"/>
      <color rgb="FF000005"/>
      <color rgb="FFF03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885824</xdr:colOff>
      <xdr:row>0</xdr:row>
      <xdr:rowOff>0</xdr:rowOff>
    </xdr:from>
    <xdr:to>
      <xdr:col>6</xdr:col>
      <xdr:colOff>996950</xdr:colOff>
      <xdr:row>1</xdr:row>
      <xdr:rowOff>177800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2474" y="0"/>
          <a:ext cx="1028701" cy="10287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Klanten" displayName="Klanten" ref="A1:U7" totalsRowShown="0" headerRowDxfId="22" dataDxfId="21">
  <autoFilter ref="A1:U7" xr:uid="{00000000-0009-0000-0100-000002000000}"/>
  <tableColumns count="21">
    <tableColumn id="1" xr3:uid="{00000000-0010-0000-0000-000001000000}" name="description" dataDxfId="20"/>
    <tableColumn id="2" xr3:uid="{00000000-0010-0000-0000-000002000000}" name="Bedrijf 1" dataDxfId="19"/>
    <tableColumn id="11" xr3:uid="{00000000-0010-0000-0000-00000B000000}" name="Bedrijf 10" dataDxfId="18"/>
    <tableColumn id="14" xr3:uid="{00000000-0010-0000-0000-00000E000000}" name="Bedrijf 13" dataDxfId="17"/>
    <tableColumn id="19" xr3:uid="{00000000-0010-0000-0000-000013000000}" name="Bedrijf 18" dataDxfId="16"/>
    <tableColumn id="8" xr3:uid="{00000000-0010-0000-0000-000008000000}" name="Bedrijf 2" dataDxfId="15"/>
    <tableColumn id="10" xr3:uid="{00000000-0010-0000-0000-00000A000000}" name="Bedrijf 9" dataDxfId="14"/>
    <tableColumn id="16" xr3:uid="{00000000-0010-0000-0000-000010000000}" name="Bedrijf 15" dataDxfId="13"/>
    <tableColumn id="17" xr3:uid="{00000000-0010-0000-0000-000011000000}" name="Bedrijf 16" dataDxfId="12"/>
    <tableColumn id="13" xr3:uid="{00000000-0010-0000-0000-00000D000000}" name="Bedrijf 12" dataDxfId="11"/>
    <tableColumn id="5" xr3:uid="{00000000-0010-0000-0000-000005000000}" name="Bedrijf 5" dataDxfId="10"/>
    <tableColumn id="18" xr3:uid="{00000000-0010-0000-0000-000012000000}" name="Bedrijf 17" dataDxfId="9"/>
    <tableColumn id="12" xr3:uid="{00000000-0010-0000-0000-00000C000000}" name="Bedrijf 11" dataDxfId="8"/>
    <tableColumn id="7" xr3:uid="{00000000-0010-0000-0000-000007000000}" name="Bedrijf 7" dataDxfId="7"/>
    <tableColumn id="6" xr3:uid="{00000000-0010-0000-0000-000006000000}" name="Bedrijf 6" dataDxfId="6"/>
    <tableColumn id="4" xr3:uid="{00000000-0010-0000-0000-000004000000}" name="Bedrijf 4" dataDxfId="5"/>
    <tableColumn id="3" xr3:uid="{00000000-0010-0000-0000-000003000000}" name="Bedrijf 3" dataDxfId="4"/>
    <tableColumn id="15" xr3:uid="{00000000-0010-0000-0000-00000F000000}" name="Bedrijf 14" dataDxfId="3"/>
    <tableColumn id="9" xr3:uid="{00000000-0010-0000-0000-000009000000}" name="Bedrijf 8" dataDxfId="2"/>
    <tableColumn id="20" xr3:uid="{00000000-0010-0000-0000-000014000000}" name="Bedrijf 19" dataDxfId="1"/>
    <tableColumn id="21" xr3:uid="{00000000-0010-0000-0000-000015000000}" name="Bedrijf 20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fo@am-place.com" TargetMode="External"/><Relationship Id="rId1" Type="http://schemas.openxmlformats.org/officeDocument/2006/relationships/hyperlink" Target="http://am-place.n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luc@vandriellandschapsbeheer.nl" TargetMode="External"/><Relationship Id="rId13" Type="http://schemas.openxmlformats.org/officeDocument/2006/relationships/hyperlink" Target="mailto:info@msrentservice.eu" TargetMode="External"/><Relationship Id="rId3" Type="http://schemas.openxmlformats.org/officeDocument/2006/relationships/hyperlink" Target="mailto:info@auto4motion.nl" TargetMode="External"/><Relationship Id="rId7" Type="http://schemas.openxmlformats.org/officeDocument/2006/relationships/hyperlink" Target="mailto:info@autorens.nl" TargetMode="External"/><Relationship Id="rId12" Type="http://schemas.openxmlformats.org/officeDocument/2006/relationships/hyperlink" Target="mailto:info@krasjesendeukjes.nl" TargetMode="External"/><Relationship Id="rId2" Type="http://schemas.openxmlformats.org/officeDocument/2006/relationships/hyperlink" Target="mailto:info@doelautos.nl" TargetMode="External"/><Relationship Id="rId1" Type="http://schemas.openxmlformats.org/officeDocument/2006/relationships/hyperlink" Target="mailto:facturen@bwcr.nl" TargetMode="External"/><Relationship Id="rId6" Type="http://schemas.openxmlformats.org/officeDocument/2006/relationships/hyperlink" Target="mailto:facturatie@schalktrading.nl" TargetMode="External"/><Relationship Id="rId11" Type="http://schemas.openxmlformats.org/officeDocument/2006/relationships/hyperlink" Target="mailto:info@jrcarcare.nl" TargetMode="External"/><Relationship Id="rId5" Type="http://schemas.openxmlformats.org/officeDocument/2006/relationships/hyperlink" Target="mailto:info@drive4ever.nl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mailto:Info@ha-tech.nl" TargetMode="External"/><Relationship Id="rId4" Type="http://schemas.openxmlformats.org/officeDocument/2006/relationships/hyperlink" Target="mailto:info@cbcbrabant.nl" TargetMode="External"/><Relationship Id="rId9" Type="http://schemas.openxmlformats.org/officeDocument/2006/relationships/hyperlink" Target="mailto:admin@lvgautos.nl" TargetMode="External"/><Relationship Id="rId1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5"/>
  <sheetViews>
    <sheetView showGridLines="0" tabSelected="1" zoomScale="85" zoomScaleNormal="115" zoomScaleSheetLayoutView="100" workbookViewId="0">
      <selection activeCell="G19" sqref="G19"/>
    </sheetView>
  </sheetViews>
  <sheetFormatPr defaultColWidth="9.140625" defaultRowHeight="12.75" x14ac:dyDescent="0.2"/>
  <cols>
    <col min="1" max="1" width="19.7109375" bestFit="1" customWidth="1"/>
    <col min="2" max="2" width="17.7109375" customWidth="1"/>
    <col min="3" max="3" width="14" customWidth="1"/>
    <col min="4" max="4" width="2" customWidth="1"/>
    <col min="5" max="5" width="10.5703125" customWidth="1"/>
    <col min="6" max="6" width="13.7109375" customWidth="1"/>
    <col min="7" max="7" width="20.42578125" customWidth="1"/>
    <col min="8" max="9" width="0" hidden="1" customWidth="1"/>
  </cols>
  <sheetData>
    <row r="1" spans="1:10" s="1" customFormat="1" ht="67.150000000000006" customHeight="1" x14ac:dyDescent="0.8">
      <c r="A1" s="12"/>
      <c r="B1" s="13"/>
      <c r="C1" s="14"/>
      <c r="G1" s="7"/>
    </row>
    <row r="2" spans="1:10" ht="27.6" customHeight="1" x14ac:dyDescent="0.4">
      <c r="A2" s="23" t="s">
        <v>0</v>
      </c>
      <c r="B2" s="5"/>
      <c r="C2" s="5"/>
      <c r="F2" s="24"/>
      <c r="G2" s="25" t="s">
        <v>1</v>
      </c>
      <c r="H2" s="16"/>
      <c r="I2" s="16"/>
      <c r="J2" s="16"/>
    </row>
    <row r="3" spans="1:10" ht="14.1" customHeight="1" x14ac:dyDescent="0.2">
      <c r="A3" s="5"/>
      <c r="B3" s="5"/>
      <c r="C3" s="5"/>
      <c r="F3" s="26"/>
      <c r="G3" s="27" t="s">
        <v>2</v>
      </c>
      <c r="H3" s="16"/>
      <c r="I3" s="16"/>
      <c r="J3" s="16"/>
    </row>
    <row r="4" spans="1:10" ht="20.45" customHeight="1" x14ac:dyDescent="0.2">
      <c r="A4" s="76" t="s">
        <v>3</v>
      </c>
      <c r="B4" s="76"/>
      <c r="C4" s="76"/>
      <c r="D4" s="3"/>
      <c r="E4" s="6"/>
      <c r="F4" s="28"/>
      <c r="G4" s="27" t="s">
        <v>4</v>
      </c>
      <c r="H4" s="16"/>
      <c r="I4" s="16"/>
      <c r="J4" s="16"/>
    </row>
    <row r="5" spans="1:10" ht="12.95" customHeight="1" x14ac:dyDescent="0.2">
      <c r="A5" s="78"/>
      <c r="B5" s="78"/>
      <c r="C5" s="78"/>
      <c r="D5" s="2"/>
      <c r="E5" s="10"/>
      <c r="F5" s="29"/>
      <c r="G5" s="30" t="s">
        <v>5</v>
      </c>
      <c r="H5" s="16"/>
      <c r="I5" s="16"/>
      <c r="J5" s="16"/>
    </row>
    <row r="6" spans="1:10" ht="16.149999999999999" customHeight="1" x14ac:dyDescent="0.2">
      <c r="A6" s="82" t="s">
        <v>92</v>
      </c>
      <c r="B6" s="82"/>
      <c r="C6" s="82"/>
      <c r="D6" s="20"/>
      <c r="E6" s="4"/>
      <c r="F6" s="31" t="s">
        <v>7</v>
      </c>
      <c r="G6" s="30">
        <v>69346615</v>
      </c>
      <c r="H6" s="16"/>
      <c r="I6" s="16"/>
      <c r="J6" s="16"/>
    </row>
    <row r="7" spans="1:10" x14ac:dyDescent="0.2">
      <c r="A7" s="5" t="str">
        <f>HLOOKUP(A6,Klanten[],2,FALSE)</f>
        <v>De Waterman 3</v>
      </c>
      <c r="B7" s="4"/>
      <c r="C7" s="4"/>
      <c r="D7" s="20"/>
      <c r="E7" s="4"/>
      <c r="F7" s="31" t="s">
        <v>8</v>
      </c>
      <c r="G7" s="30" t="s">
        <v>9</v>
      </c>
      <c r="H7" s="16"/>
      <c r="I7" s="16"/>
      <c r="J7" s="16"/>
    </row>
    <row r="8" spans="1:10" x14ac:dyDescent="0.2">
      <c r="A8" s="5" t="str">
        <f>HLOOKUP(A6,Klanten[],3,FALSE)</f>
        <v>4891 TL Rijsbergen</v>
      </c>
      <c r="B8" s="4"/>
      <c r="C8" s="4"/>
      <c r="D8" s="20"/>
      <c r="E8" s="4"/>
      <c r="F8" s="31" t="s">
        <v>10</v>
      </c>
      <c r="G8" s="32" t="s">
        <v>11</v>
      </c>
      <c r="H8" s="16"/>
      <c r="I8" s="16"/>
      <c r="J8" s="16"/>
    </row>
    <row r="9" spans="1:10" x14ac:dyDescent="0.2">
      <c r="A9" s="8" t="str">
        <f>IF(HLOOKUP(A6,Klanten[],4,FALSE)=0,"",HLOOKUP(A6,Klanten[],4,FALSE))</f>
        <v>facturatie@schalktrading.nl</v>
      </c>
      <c r="B9" s="20"/>
      <c r="C9" s="20"/>
      <c r="D9" s="20"/>
      <c r="E9" s="4"/>
      <c r="F9" s="31" t="s">
        <v>12</v>
      </c>
      <c r="G9" s="32" t="s">
        <v>13</v>
      </c>
      <c r="H9" s="16"/>
      <c r="I9" s="16"/>
      <c r="J9" s="16"/>
    </row>
    <row r="10" spans="1:10" x14ac:dyDescent="0.2">
      <c r="A10" s="79" t="str">
        <f>IF(HLOOKUP(A6,Klanten[],5,FALSE)=0,"",HLOOKUP(A6,Klanten[],5,FALSE))</f>
        <v/>
      </c>
      <c r="B10" s="79"/>
      <c r="C10" s="20"/>
      <c r="D10" s="20"/>
      <c r="E10" s="4"/>
      <c r="F10" s="4"/>
      <c r="G10" s="4"/>
      <c r="H10" s="16"/>
      <c r="I10" s="16"/>
      <c r="J10" s="16"/>
    </row>
    <row r="11" spans="1:10" x14ac:dyDescent="0.2">
      <c r="A11" s="5" t="str">
        <f>IF(HLOOKUP(A6,Klanten[],6,FALSE)=0,"",HLOOKUP(A6,Klanten[],6,FALSE))</f>
        <v/>
      </c>
      <c r="B11" s="5"/>
      <c r="C11" s="20"/>
      <c r="D11" s="20"/>
      <c r="E11" s="4" t="s">
        <v>14</v>
      </c>
      <c r="F11" s="31" t="s">
        <v>15</v>
      </c>
      <c r="G11" s="8" t="s">
        <v>100</v>
      </c>
    </row>
    <row r="12" spans="1:10" x14ac:dyDescent="0.2">
      <c r="A12" s="4"/>
      <c r="B12" s="20"/>
      <c r="C12" s="20"/>
      <c r="D12" s="20"/>
      <c r="E12" s="4" t="s">
        <v>14</v>
      </c>
      <c r="F12" s="31" t="s">
        <v>16</v>
      </c>
      <c r="G12" s="9" t="s">
        <v>17</v>
      </c>
    </row>
    <row r="13" spans="1:10" ht="13.15" customHeight="1" x14ac:dyDescent="0.2">
      <c r="A13" s="4"/>
      <c r="B13" s="20"/>
      <c r="C13" s="20"/>
      <c r="D13" s="20"/>
      <c r="E13" s="4"/>
      <c r="F13" s="16"/>
    </row>
    <row r="14" spans="1:10" ht="21.6" customHeight="1" x14ac:dyDescent="0.2">
      <c r="A14" s="11"/>
      <c r="B14" s="11"/>
      <c r="C14" s="11"/>
      <c r="D14" s="11"/>
      <c r="E14" s="11"/>
      <c r="F14" s="11"/>
      <c r="G14" s="11"/>
    </row>
    <row r="15" spans="1:10" ht="20.45" customHeight="1" x14ac:dyDescent="0.2">
      <c r="A15" s="68" t="s">
        <v>18</v>
      </c>
      <c r="B15" s="68"/>
      <c r="C15" s="68" t="s">
        <v>19</v>
      </c>
      <c r="D15" s="68"/>
      <c r="E15" s="68"/>
      <c r="F15" s="68" t="s">
        <v>20</v>
      </c>
      <c r="G15" s="68"/>
      <c r="H15" s="16"/>
      <c r="I15" s="16"/>
      <c r="J15" s="16"/>
    </row>
    <row r="16" spans="1:10" ht="18" customHeight="1" x14ac:dyDescent="0.2">
      <c r="A16" s="69"/>
      <c r="B16" s="69"/>
      <c r="C16" s="71"/>
      <c r="D16" s="71"/>
      <c r="E16" s="71"/>
      <c r="F16" s="70"/>
      <c r="G16" s="71"/>
      <c r="H16" s="16"/>
      <c r="I16" s="16"/>
      <c r="J16" s="16"/>
    </row>
    <row r="17" spans="1:13" ht="16.899999999999999" customHeight="1" x14ac:dyDescent="0.2">
      <c r="A17" s="5"/>
      <c r="B17" s="5"/>
      <c r="C17" s="5"/>
      <c r="D17" s="5"/>
      <c r="E17" s="5"/>
      <c r="F17" s="5"/>
      <c r="G17" s="5"/>
      <c r="H17" s="16"/>
      <c r="I17" s="16"/>
      <c r="J17" s="16"/>
    </row>
    <row r="18" spans="1:13" ht="20.45" customHeight="1" x14ac:dyDescent="0.2">
      <c r="A18" s="33" t="s">
        <v>21</v>
      </c>
      <c r="B18" s="68" t="s">
        <v>22</v>
      </c>
      <c r="C18" s="68"/>
      <c r="D18" s="68"/>
      <c r="E18" s="68"/>
      <c r="F18" s="68"/>
      <c r="G18" s="34" t="s">
        <v>23</v>
      </c>
      <c r="H18" s="16"/>
      <c r="I18" s="16"/>
      <c r="J18" s="16"/>
    </row>
    <row r="19" spans="1:13" ht="18" customHeight="1" x14ac:dyDescent="0.2">
      <c r="A19" s="35"/>
      <c r="B19" s="75"/>
      <c r="C19" s="75"/>
      <c r="D19" s="75"/>
      <c r="E19" s="75"/>
      <c r="F19" s="75"/>
      <c r="G19" s="36"/>
      <c r="H19" s="16">
        <v>30</v>
      </c>
      <c r="I19" s="16">
        <f t="shared" ref="I19:I26" si="0">79*H19/100</f>
        <v>23.7</v>
      </c>
      <c r="J19" s="16"/>
      <c r="M19" t="s">
        <v>14</v>
      </c>
    </row>
    <row r="20" spans="1:13" s="1" customFormat="1" ht="18" customHeight="1" x14ac:dyDescent="0.2">
      <c r="A20" s="35"/>
      <c r="B20" s="75"/>
      <c r="C20" s="75"/>
      <c r="D20" s="75"/>
      <c r="E20" s="75"/>
      <c r="F20" s="75"/>
      <c r="G20" s="17"/>
      <c r="H20" s="16">
        <v>90</v>
      </c>
      <c r="I20" s="16">
        <f t="shared" si="0"/>
        <v>71.099999999999994</v>
      </c>
      <c r="J20" s="18"/>
    </row>
    <row r="21" spans="1:13" ht="18" customHeight="1" x14ac:dyDescent="0.2">
      <c r="A21" s="35"/>
      <c r="B21" s="75"/>
      <c r="C21" s="75"/>
      <c r="D21" s="75"/>
      <c r="E21" s="75"/>
      <c r="F21" s="75"/>
      <c r="G21" s="17"/>
      <c r="H21" s="16">
        <v>40</v>
      </c>
      <c r="I21" s="16">
        <f t="shared" si="0"/>
        <v>31.6</v>
      </c>
      <c r="J21" s="16"/>
    </row>
    <row r="22" spans="1:13" ht="18" customHeight="1" x14ac:dyDescent="0.2">
      <c r="A22" s="35"/>
      <c r="B22" s="21"/>
      <c r="C22" s="19"/>
      <c r="D22" s="19"/>
      <c r="E22" s="80"/>
      <c r="F22" s="80"/>
      <c r="G22" s="17"/>
      <c r="H22" s="16">
        <v>150</v>
      </c>
      <c r="I22" s="16">
        <f t="shared" si="0"/>
        <v>118.5</v>
      </c>
      <c r="J22" s="16"/>
    </row>
    <row r="23" spans="1:13" ht="18" customHeight="1" x14ac:dyDescent="0.2">
      <c r="A23" s="22"/>
      <c r="B23" s="19"/>
      <c r="C23" s="19"/>
      <c r="D23" s="19"/>
      <c r="E23" s="80"/>
      <c r="F23" s="80"/>
      <c r="G23" s="17"/>
      <c r="H23" s="16">
        <v>25</v>
      </c>
      <c r="I23" s="16">
        <f t="shared" si="0"/>
        <v>19.75</v>
      </c>
      <c r="J23" s="16"/>
    </row>
    <row r="24" spans="1:13" ht="18" customHeight="1" x14ac:dyDescent="0.2">
      <c r="A24" s="21"/>
      <c r="B24" s="19"/>
      <c r="C24" s="19"/>
      <c r="D24" s="19"/>
      <c r="E24" s="80"/>
      <c r="F24" s="80"/>
      <c r="G24" s="17"/>
      <c r="H24" s="16">
        <v>70</v>
      </c>
      <c r="I24" s="16">
        <f t="shared" si="0"/>
        <v>55.3</v>
      </c>
      <c r="J24" s="16"/>
    </row>
    <row r="25" spans="1:13" ht="18" customHeight="1" x14ac:dyDescent="0.2">
      <c r="A25" s="21"/>
      <c r="B25" s="19"/>
      <c r="C25" s="19"/>
      <c r="D25" s="19"/>
      <c r="E25" s="80"/>
      <c r="F25" s="80"/>
      <c r="G25" s="17"/>
      <c r="H25" s="16">
        <v>80</v>
      </c>
      <c r="I25" s="16">
        <f t="shared" si="0"/>
        <v>63.2</v>
      </c>
      <c r="J25" s="16"/>
    </row>
    <row r="26" spans="1:13" ht="18" customHeight="1" x14ac:dyDescent="0.2">
      <c r="A26" s="37"/>
      <c r="B26" s="38"/>
      <c r="C26" s="38"/>
      <c r="D26" s="38"/>
      <c r="E26" s="81"/>
      <c r="F26" s="81"/>
      <c r="G26" s="36"/>
      <c r="H26" s="16">
        <v>160</v>
      </c>
      <c r="I26" s="16">
        <f t="shared" si="0"/>
        <v>126.4</v>
      </c>
      <c r="J26" s="16"/>
    </row>
    <row r="27" spans="1:13" ht="18" customHeight="1" x14ac:dyDescent="0.2">
      <c r="A27" s="37"/>
      <c r="B27" s="38"/>
      <c r="C27" s="38"/>
      <c r="D27" s="38"/>
      <c r="E27" s="39"/>
      <c r="F27" s="39"/>
      <c r="G27" s="36"/>
      <c r="H27" s="16"/>
      <c r="I27" s="16"/>
      <c r="J27" s="16"/>
    </row>
    <row r="28" spans="1:13" ht="18" customHeight="1" x14ac:dyDescent="0.2">
      <c r="A28" s="37"/>
      <c r="B28" s="38"/>
      <c r="C28" s="38"/>
      <c r="D28" s="38"/>
      <c r="E28" s="39"/>
      <c r="F28" s="39"/>
      <c r="G28" s="36"/>
      <c r="H28" s="16"/>
      <c r="I28" s="16"/>
      <c r="J28" s="16"/>
    </row>
    <row r="29" spans="1:13" ht="18" customHeight="1" x14ac:dyDescent="0.2">
      <c r="A29" s="37"/>
      <c r="B29" s="38"/>
      <c r="C29" s="38"/>
      <c r="D29" s="38"/>
      <c r="E29" s="39"/>
      <c r="F29" s="39"/>
      <c r="G29" s="36"/>
      <c r="H29" s="16"/>
      <c r="I29" s="16"/>
      <c r="J29" s="16"/>
    </row>
    <row r="30" spans="1:13" ht="18" customHeight="1" x14ac:dyDescent="0.2">
      <c r="A30" s="37"/>
      <c r="B30" s="77"/>
      <c r="C30" s="77"/>
      <c r="D30" s="77"/>
      <c r="E30" s="77"/>
      <c r="F30" s="77"/>
      <c r="G30" s="36"/>
      <c r="H30" s="16"/>
      <c r="I30" s="16"/>
      <c r="J30" s="16"/>
    </row>
    <row r="31" spans="1:13" ht="20.45" customHeight="1" x14ac:dyDescent="0.2">
      <c r="A31" s="5"/>
      <c r="B31" s="39"/>
      <c r="C31" s="39"/>
      <c r="D31" s="39"/>
      <c r="E31" s="5"/>
      <c r="F31" s="40" t="s">
        <v>24</v>
      </c>
      <c r="G31" s="41">
        <f>SUM(G19:G30)</f>
        <v>0</v>
      </c>
      <c r="H31" s="16"/>
      <c r="I31" s="16"/>
      <c r="J31" s="16"/>
    </row>
    <row r="32" spans="1:13" ht="20.45" customHeight="1" x14ac:dyDescent="0.2">
      <c r="A32" s="5"/>
      <c r="B32" s="42"/>
      <c r="C32" s="43"/>
      <c r="D32" s="43"/>
      <c r="E32" s="5"/>
      <c r="F32" s="40" t="s">
        <v>25</v>
      </c>
      <c r="G32" s="44">
        <v>0.21</v>
      </c>
      <c r="H32" s="16"/>
      <c r="I32" s="16"/>
      <c r="J32" s="16"/>
    </row>
    <row r="33" spans="1:10" ht="20.45" customHeight="1" x14ac:dyDescent="0.2">
      <c r="A33" s="5"/>
      <c r="B33" s="45"/>
      <c r="C33" s="45"/>
      <c r="D33" s="43"/>
      <c r="E33" s="5"/>
      <c r="F33" s="40" t="s">
        <v>26</v>
      </c>
      <c r="G33" s="46">
        <f>G31*G32</f>
        <v>0</v>
      </c>
      <c r="H33" s="16"/>
      <c r="I33" s="16"/>
      <c r="J33" s="16"/>
    </row>
    <row r="34" spans="1:10" ht="20.45" customHeight="1" x14ac:dyDescent="0.2">
      <c r="A34" s="5"/>
      <c r="B34" s="43"/>
      <c r="C34" s="5"/>
      <c r="D34" s="43"/>
      <c r="E34" s="5"/>
      <c r="F34" s="40" t="s">
        <v>27</v>
      </c>
      <c r="G34" s="47">
        <v>0</v>
      </c>
      <c r="H34" s="16"/>
      <c r="I34" s="16"/>
      <c r="J34" s="16"/>
    </row>
    <row r="35" spans="1:10" ht="20.45" customHeight="1" x14ac:dyDescent="0.2">
      <c r="A35" s="5"/>
      <c r="B35" s="5"/>
      <c r="C35" s="43"/>
      <c r="D35" s="43"/>
      <c r="E35" s="5"/>
      <c r="F35" s="40" t="s">
        <v>28</v>
      </c>
      <c r="G35" s="48">
        <f>G31+G33+G34</f>
        <v>0</v>
      </c>
      <c r="H35" s="16"/>
      <c r="I35" s="16"/>
      <c r="J35" s="16"/>
    </row>
    <row r="36" spans="1:10" ht="20.25" customHeight="1" x14ac:dyDescent="0.2">
      <c r="A36" s="5"/>
      <c r="B36" s="5"/>
      <c r="C36" s="43"/>
      <c r="D36" s="32"/>
      <c r="E36" s="32"/>
      <c r="F36" s="32"/>
      <c r="G36" s="32"/>
      <c r="H36" s="16"/>
      <c r="I36" s="16"/>
      <c r="J36" s="16"/>
    </row>
    <row r="37" spans="1:10" ht="22.15" customHeight="1" x14ac:dyDescent="0.2">
      <c r="A37" s="72"/>
      <c r="B37" s="72"/>
      <c r="C37" s="72"/>
      <c r="D37" s="72"/>
      <c r="E37" s="72"/>
      <c r="F37" s="72"/>
      <c r="G37" s="72"/>
      <c r="H37" s="16"/>
      <c r="I37" s="16"/>
      <c r="J37" s="16"/>
    </row>
    <row r="38" spans="1:10" ht="17.45" customHeight="1" x14ac:dyDescent="0.2">
      <c r="A38" s="73"/>
      <c r="B38" s="73"/>
      <c r="C38" s="73"/>
      <c r="D38" s="73"/>
      <c r="E38" s="73"/>
      <c r="F38" s="73"/>
      <c r="G38" s="73"/>
      <c r="H38" s="16"/>
      <c r="I38" s="16"/>
      <c r="J38" s="16"/>
    </row>
    <row r="39" spans="1:10" ht="17.45" customHeight="1" x14ac:dyDescent="0.2">
      <c r="A39" s="74" t="s">
        <v>29</v>
      </c>
      <c r="B39" s="74"/>
      <c r="C39" s="74"/>
      <c r="D39" s="74"/>
      <c r="E39" s="74"/>
      <c r="F39" s="74"/>
      <c r="G39" s="74"/>
      <c r="H39" s="16"/>
      <c r="I39" s="16"/>
      <c r="J39" s="16"/>
    </row>
    <row r="40" spans="1:10" ht="17.45" customHeight="1" x14ac:dyDescent="0.2">
      <c r="A40" s="66" t="s">
        <v>30</v>
      </c>
      <c r="B40" s="66"/>
      <c r="C40" s="66"/>
      <c r="D40" s="66"/>
      <c r="E40" s="66"/>
      <c r="F40" s="66"/>
      <c r="G40" s="66"/>
      <c r="H40" s="16"/>
      <c r="I40" s="16"/>
      <c r="J40" s="16"/>
    </row>
    <row r="41" spans="1:10" ht="17.45" customHeight="1" x14ac:dyDescent="0.2">
      <c r="A41" s="66" t="s">
        <v>106</v>
      </c>
      <c r="B41" s="66"/>
      <c r="C41" s="66"/>
      <c r="D41" s="66"/>
      <c r="E41" s="66"/>
      <c r="F41" s="66"/>
      <c r="G41" s="66"/>
      <c r="H41" s="16"/>
      <c r="I41" s="16"/>
      <c r="J41" s="16"/>
    </row>
    <row r="42" spans="1:10" ht="17.45" customHeight="1" x14ac:dyDescent="0.2">
      <c r="A42" s="31"/>
      <c r="B42" s="31"/>
      <c r="C42" s="31"/>
      <c r="D42" s="31"/>
      <c r="E42" s="31"/>
      <c r="F42" s="31"/>
      <c r="G42" s="31"/>
    </row>
    <row r="43" spans="1:10" ht="14.45" customHeight="1" x14ac:dyDescent="0.2">
      <c r="A43" s="67"/>
      <c r="B43" s="67"/>
      <c r="C43" s="67"/>
      <c r="D43" s="67"/>
      <c r="E43" s="67"/>
      <c r="F43" s="67"/>
      <c r="G43" s="67"/>
    </row>
    <row r="44" spans="1:10" x14ac:dyDescent="0.2">
      <c r="A44" s="15"/>
      <c r="B44" s="15"/>
      <c r="C44" s="15"/>
      <c r="D44" s="15"/>
      <c r="E44" s="15"/>
      <c r="F44" s="15"/>
      <c r="G44" s="15"/>
    </row>
    <row r="45" spans="1:10" ht="14.1" customHeight="1" x14ac:dyDescent="0.2"/>
  </sheetData>
  <mergeCells count="26">
    <mergeCell ref="A4:C4"/>
    <mergeCell ref="A15:B15"/>
    <mergeCell ref="C15:E15"/>
    <mergeCell ref="B30:F30"/>
    <mergeCell ref="A5:C5"/>
    <mergeCell ref="A10:B10"/>
    <mergeCell ref="E25:F25"/>
    <mergeCell ref="E26:F26"/>
    <mergeCell ref="E24:F24"/>
    <mergeCell ref="E22:F22"/>
    <mergeCell ref="E23:F23"/>
    <mergeCell ref="B19:F19"/>
    <mergeCell ref="A6:C6"/>
    <mergeCell ref="A40:G40"/>
    <mergeCell ref="A41:G41"/>
    <mergeCell ref="A43:G43"/>
    <mergeCell ref="F15:G15"/>
    <mergeCell ref="A16:B16"/>
    <mergeCell ref="F16:G16"/>
    <mergeCell ref="C16:E16"/>
    <mergeCell ref="B18:F18"/>
    <mergeCell ref="A37:G37"/>
    <mergeCell ref="A38:G38"/>
    <mergeCell ref="A39:G39"/>
    <mergeCell ref="B21:F21"/>
    <mergeCell ref="B20:F20"/>
  </mergeCells>
  <phoneticPr fontId="1" type="noConversion"/>
  <conditionalFormatting sqref="G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G11" r:id="rId1" xr:uid="{00000000-0004-0000-0000-000000000000}"/>
    <hyperlink ref="G12" r:id="rId2" xr:uid="{00000000-0004-0000-0000-000001000000}"/>
  </hyperlinks>
  <pageMargins left="0.7" right="0.7" top="0.75" bottom="0.75" header="0.3" footer="0.3"/>
  <pageSetup paperSize="9" scale="91" orientation="portrait" r:id="rId3"/>
  <headerFooter alignWithMargins="0"/>
  <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klanten!$B$2:$Z$2</xm:f>
          </x14:formula1>
          <xm:sqref>A6:C6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0"/>
  <sheetViews>
    <sheetView topLeftCell="G1" zoomScaleNormal="100" workbookViewId="0">
      <selection activeCell="L11" sqref="L11"/>
    </sheetView>
  </sheetViews>
  <sheetFormatPr defaultRowHeight="12.75" x14ac:dyDescent="0.2"/>
  <cols>
    <col min="1" max="1" width="16.5703125" bestFit="1" customWidth="1"/>
    <col min="2" max="2" width="36.7109375" bestFit="1" customWidth="1"/>
    <col min="3" max="3" width="25" bestFit="1" customWidth="1"/>
    <col min="4" max="4" width="29.140625" bestFit="1" customWidth="1"/>
    <col min="5" max="5" width="35.5703125" bestFit="1" customWidth="1"/>
    <col min="6" max="6" width="25.85546875" bestFit="1" customWidth="1"/>
    <col min="7" max="7" width="24.140625" bestFit="1" customWidth="1"/>
    <col min="8" max="8" width="21" bestFit="1" customWidth="1"/>
    <col min="9" max="9" width="27" bestFit="1" customWidth="1"/>
    <col min="10" max="10" width="19.28515625" bestFit="1" customWidth="1"/>
    <col min="11" max="11" width="30.28515625" bestFit="1" customWidth="1"/>
    <col min="12" max="12" width="22.140625" bestFit="1" customWidth="1"/>
    <col min="13" max="13" width="30.28515625" bestFit="1" customWidth="1"/>
    <col min="14" max="14" width="19.28515625" bestFit="1" customWidth="1"/>
    <col min="15" max="15" width="35.42578125" bestFit="1" customWidth="1"/>
    <col min="16" max="16" width="19" bestFit="1" customWidth="1"/>
    <col min="17" max="17" width="26.28515625" bestFit="1" customWidth="1"/>
    <col min="18" max="18" width="20.42578125" bestFit="1" customWidth="1"/>
    <col min="19" max="19" width="22.5703125" customWidth="1"/>
    <col min="20" max="21" width="11.5703125" bestFit="1" customWidth="1"/>
  </cols>
  <sheetData>
    <row r="1" spans="1:21" x14ac:dyDescent="0.2">
      <c r="A1" s="49" t="s">
        <v>31</v>
      </c>
      <c r="B1" s="50" t="s">
        <v>32</v>
      </c>
      <c r="C1" s="50" t="s">
        <v>41</v>
      </c>
      <c r="D1" s="51" t="s">
        <v>87</v>
      </c>
      <c r="E1" s="51" t="s">
        <v>112</v>
      </c>
      <c r="F1" s="50" t="s">
        <v>33</v>
      </c>
      <c r="G1" s="50" t="s">
        <v>40</v>
      </c>
      <c r="H1" s="51" t="s">
        <v>101</v>
      </c>
      <c r="I1" s="51" t="s">
        <v>107</v>
      </c>
      <c r="J1" s="50" t="s">
        <v>82</v>
      </c>
      <c r="K1" s="50" t="s">
        <v>36</v>
      </c>
      <c r="L1" s="51" t="s">
        <v>111</v>
      </c>
      <c r="M1" s="51" t="s">
        <v>77</v>
      </c>
      <c r="N1" s="50" t="s">
        <v>38</v>
      </c>
      <c r="O1" s="50" t="s">
        <v>37</v>
      </c>
      <c r="P1" s="50" t="s">
        <v>35</v>
      </c>
      <c r="Q1" s="50" t="s">
        <v>34</v>
      </c>
      <c r="R1" s="51" t="s">
        <v>95</v>
      </c>
      <c r="S1" s="50" t="s">
        <v>39</v>
      </c>
      <c r="T1" s="51" t="s">
        <v>113</v>
      </c>
      <c r="U1" s="51" t="s">
        <v>114</v>
      </c>
    </row>
    <row r="2" spans="1:21" ht="25.5" x14ac:dyDescent="0.2">
      <c r="A2" s="63" t="s">
        <v>42</v>
      </c>
      <c r="B2" s="64" t="s">
        <v>6</v>
      </c>
      <c r="C2" s="64" t="s">
        <v>92</v>
      </c>
      <c r="D2" s="64" t="s">
        <v>91</v>
      </c>
      <c r="E2" s="64" t="s">
        <v>118</v>
      </c>
      <c r="F2" s="64" t="s">
        <v>43</v>
      </c>
      <c r="G2" s="64" t="s">
        <v>50</v>
      </c>
      <c r="H2" s="64" t="s">
        <v>102</v>
      </c>
      <c r="I2" s="64" t="s">
        <v>108</v>
      </c>
      <c r="J2" s="64" t="s">
        <v>86</v>
      </c>
      <c r="K2" s="64" t="s">
        <v>46</v>
      </c>
      <c r="L2" s="64" t="s">
        <v>115</v>
      </c>
      <c r="M2" s="64" t="s">
        <v>81</v>
      </c>
      <c r="N2" s="64" t="s">
        <v>48</v>
      </c>
      <c r="O2" s="64" t="s">
        <v>47</v>
      </c>
      <c r="P2" s="64" t="s">
        <v>45</v>
      </c>
      <c r="Q2" s="64" t="s">
        <v>44</v>
      </c>
      <c r="R2" s="64" t="s">
        <v>96</v>
      </c>
      <c r="S2" s="64" t="s">
        <v>49</v>
      </c>
      <c r="T2" s="65"/>
      <c r="U2" s="65"/>
    </row>
    <row r="3" spans="1:21" ht="25.5" x14ac:dyDescent="0.2">
      <c r="A3" s="52" t="s">
        <v>51</v>
      </c>
      <c r="B3" s="51" t="s">
        <v>52</v>
      </c>
      <c r="C3" s="54" t="s">
        <v>93</v>
      </c>
      <c r="D3" s="53" t="s">
        <v>88</v>
      </c>
      <c r="E3" s="54" t="s">
        <v>120</v>
      </c>
      <c r="F3" s="54" t="s">
        <v>53</v>
      </c>
      <c r="G3" s="56" t="s">
        <v>60</v>
      </c>
      <c r="H3" s="54" t="s">
        <v>104</v>
      </c>
      <c r="I3" s="53" t="s">
        <v>109</v>
      </c>
      <c r="J3" s="54" t="s">
        <v>83</v>
      </c>
      <c r="K3" s="54" t="s">
        <v>56</v>
      </c>
      <c r="L3" s="54" t="s">
        <v>116</v>
      </c>
      <c r="M3" s="53" t="s">
        <v>78</v>
      </c>
      <c r="N3" s="54" t="s">
        <v>58</v>
      </c>
      <c r="O3" s="54" t="s">
        <v>57</v>
      </c>
      <c r="P3" s="55" t="s">
        <v>55</v>
      </c>
      <c r="Q3" s="54" t="s">
        <v>54</v>
      </c>
      <c r="R3" s="53" t="s">
        <v>97</v>
      </c>
      <c r="S3" s="54" t="s">
        <v>59</v>
      </c>
      <c r="T3" s="53"/>
      <c r="U3" s="53"/>
    </row>
    <row r="4" spans="1:21" ht="16.149999999999999" customHeight="1" x14ac:dyDescent="0.2">
      <c r="A4" s="52" t="s">
        <v>61</v>
      </c>
      <c r="B4" s="51" t="s">
        <v>62</v>
      </c>
      <c r="C4" s="54" t="s">
        <v>94</v>
      </c>
      <c r="D4" s="53" t="s">
        <v>89</v>
      </c>
      <c r="E4" s="54" t="s">
        <v>121</v>
      </c>
      <c r="F4" s="54" t="s">
        <v>63</v>
      </c>
      <c r="G4" s="56" t="s">
        <v>69</v>
      </c>
      <c r="H4" s="54" t="s">
        <v>105</v>
      </c>
      <c r="I4" s="53" t="s">
        <v>110</v>
      </c>
      <c r="J4" s="54" t="s">
        <v>85</v>
      </c>
      <c r="K4" s="54" t="s">
        <v>65</v>
      </c>
      <c r="L4" s="54" t="s">
        <v>117</v>
      </c>
      <c r="M4" s="53" t="s">
        <v>79</v>
      </c>
      <c r="N4" s="54" t="s">
        <v>67</v>
      </c>
      <c r="O4" s="54" t="s">
        <v>66</v>
      </c>
      <c r="P4" s="55" t="s">
        <v>64</v>
      </c>
      <c r="Q4" s="54" t="s">
        <v>64</v>
      </c>
      <c r="R4" s="54" t="s">
        <v>98</v>
      </c>
      <c r="S4" s="54" t="s">
        <v>68</v>
      </c>
      <c r="T4" s="53"/>
      <c r="U4" s="53"/>
    </row>
    <row r="5" spans="1:21" ht="24" x14ac:dyDescent="0.2">
      <c r="A5" s="52" t="s">
        <v>70</v>
      </c>
      <c r="B5" s="57" t="s">
        <v>71</v>
      </c>
      <c r="C5" s="61" t="s">
        <v>76</v>
      </c>
      <c r="D5" s="61" t="s">
        <v>90</v>
      </c>
      <c r="E5" s="61" t="s">
        <v>119</v>
      </c>
      <c r="F5" s="58" t="s">
        <v>72</v>
      </c>
      <c r="G5" s="61" t="s">
        <v>75</v>
      </c>
      <c r="H5" s="61" t="s">
        <v>103</v>
      </c>
      <c r="I5" s="61" t="s">
        <v>124</v>
      </c>
      <c r="J5" s="61" t="s">
        <v>84</v>
      </c>
      <c r="K5" s="51"/>
      <c r="L5" s="53"/>
      <c r="M5" s="61" t="s">
        <v>80</v>
      </c>
      <c r="N5" s="59" t="s">
        <v>73</v>
      </c>
      <c r="O5" s="54"/>
      <c r="P5" s="51"/>
      <c r="Q5" s="51"/>
      <c r="R5" s="61" t="s">
        <v>99</v>
      </c>
      <c r="S5" s="60" t="s">
        <v>74</v>
      </c>
      <c r="T5" s="53"/>
      <c r="U5" s="53"/>
    </row>
    <row r="6" spans="1:21" x14ac:dyDescent="0.2">
      <c r="A6" s="52"/>
      <c r="B6" s="51"/>
      <c r="C6" s="54"/>
      <c r="D6" s="54"/>
      <c r="E6" s="62" t="s">
        <v>122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1"/>
      <c r="Q6" s="54"/>
      <c r="R6" s="54"/>
      <c r="S6" s="54"/>
      <c r="T6" s="54"/>
      <c r="U6" s="54"/>
    </row>
    <row r="7" spans="1:21" x14ac:dyDescent="0.2">
      <c r="A7" s="52"/>
      <c r="B7" s="51"/>
      <c r="C7" s="54"/>
      <c r="D7" s="54"/>
      <c r="E7" s="62" t="s">
        <v>123</v>
      </c>
      <c r="F7" s="54"/>
      <c r="G7" s="54"/>
      <c r="H7" s="54"/>
      <c r="I7" s="54"/>
      <c r="J7" s="54"/>
      <c r="K7" s="54"/>
      <c r="L7" s="54"/>
      <c r="M7" s="54"/>
      <c r="N7" s="54"/>
      <c r="O7" s="54"/>
      <c r="P7" s="51"/>
      <c r="Q7" s="54"/>
      <c r="R7" s="54"/>
      <c r="S7" s="54"/>
      <c r="T7" s="54"/>
      <c r="U7" s="54"/>
    </row>
    <row r="20" spans="19:19" x14ac:dyDescent="0.2">
      <c r="S20" s="62"/>
    </row>
  </sheetData>
  <phoneticPr fontId="8" type="noConversion"/>
  <dataValidations count="1">
    <dataValidation type="list" allowBlank="1" showInputMessage="1" showErrorMessage="1" sqref="B2" xr:uid="{00000000-0002-0000-0100-000000000000}">
      <formula1>$A$2:$A$14</formula1>
    </dataValidation>
  </dataValidations>
  <hyperlinks>
    <hyperlink ref="B5" r:id="rId1" xr:uid="{00000000-0004-0000-0100-000000000000}"/>
    <hyperlink ref="N5" r:id="rId2" xr:uid="{00000000-0004-0000-0100-000001000000}"/>
    <hyperlink ref="F5" r:id="rId3" display="mailto:info@auto4motion.nl" xr:uid="{00000000-0004-0000-0100-000002000000}"/>
    <hyperlink ref="S5" r:id="rId4" xr:uid="{00000000-0004-0000-0100-000003000000}"/>
    <hyperlink ref="G5" r:id="rId5" xr:uid="{00000000-0004-0000-0100-000004000000}"/>
    <hyperlink ref="C5" r:id="rId6" xr:uid="{00000000-0004-0000-0100-000005000000}"/>
    <hyperlink ref="M5" r:id="rId7" xr:uid="{00000000-0004-0000-0100-000006000000}"/>
    <hyperlink ref="J5" r:id="rId8" xr:uid="{00000000-0004-0000-0100-000007000000}"/>
    <hyperlink ref="D5" r:id="rId9" xr:uid="{00000000-0004-0000-0100-000008000000}"/>
    <hyperlink ref="R5" r:id="rId10" xr:uid="{00000000-0004-0000-0100-000009000000}"/>
    <hyperlink ref="H5" r:id="rId11" xr:uid="{00000000-0004-0000-0100-00000A000000}"/>
    <hyperlink ref="I5" r:id="rId12" xr:uid="{00000000-0004-0000-0100-00000B000000}"/>
    <hyperlink ref="E5" r:id="rId13" xr:uid="{00000000-0004-0000-0100-00000C000000}"/>
  </hyperlinks>
  <pageMargins left="0.7" right="0.7" top="0.75" bottom="0.75" header="0.3" footer="0.3"/>
  <pageSetup paperSize="9" orientation="portrait" r:id="rId14"/>
  <tableParts count="1"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Factuur</vt:lpstr>
      <vt:lpstr>klanten</vt:lpstr>
      <vt:lpstr>Factuur!Print_Area</vt:lpstr>
    </vt:vector>
  </TitlesOfParts>
  <Manager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gebruiker</dc:creator>
  <cp:keywords/>
  <dc:description/>
  <cp:lastModifiedBy>Jevgenij Lapsin</cp:lastModifiedBy>
  <cp:revision/>
  <cp:lastPrinted>2024-10-27T09:02:18Z</cp:lastPrinted>
  <dcterms:created xsi:type="dcterms:W3CDTF">2000-07-27T22:18:40Z</dcterms:created>
  <dcterms:modified xsi:type="dcterms:W3CDTF">2024-11-24T16:28:51Z</dcterms:modified>
  <cp:category>Excel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TC010184701033</vt:lpwstr>
  </property>
  <property fmtid="{D5CDD505-2E9C-101B-9397-08002B2CF9AE}" pid="3" name="WorkbookGuid">
    <vt:lpwstr>9a048b54-9f07-4cd3-a86c-fabd7fded302</vt:lpwstr>
  </property>
</Properties>
</file>